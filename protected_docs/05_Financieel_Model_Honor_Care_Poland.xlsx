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205e0e2c64a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bd682ff7e3d4294"/>
    <x:sheet xmlns:r="http://schemas.openxmlformats.org/officeDocument/2006/relationships" name="P&amp;L" sheetId="2" r:id="Rce0d1d71cb91464f"/>
    <x:sheet xmlns:r="http://schemas.openxmlformats.org/officeDocument/2006/relationships" name="Roadmap" sheetId="3" r:id="Re2fa16cf0a0b406a"/>
    <x:sheet xmlns:r="http://schemas.openxmlformats.org/officeDocument/2006/relationships" name="Sources" sheetId="4" r:id="R8380fe4e7c204a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€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40AF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b9ee3f9e64f28" /><Relationship Type="http://schemas.openxmlformats.org/officeDocument/2006/relationships/theme" Target="/xl/theme/theme1.xml" Id="Rbcc03faabb114b34" /><Relationship Type="http://schemas.openxmlformats.org/officeDocument/2006/relationships/sharedStrings" Target="/xl/sharedStrings.xml" Id="R1fafa6bc96b84ddd" /><Relationship Type="http://schemas.openxmlformats.org/officeDocument/2006/relationships/worksheet" Target="/xl/worksheets/sheet1.xml" Id="R3bd682ff7e3d4294" /><Relationship Type="http://schemas.openxmlformats.org/officeDocument/2006/relationships/worksheet" Target="/xl/worksheets/sheet2.xml" Id="Rce0d1d71cb91464f" /><Relationship Type="http://schemas.openxmlformats.org/officeDocument/2006/relationships/worksheet" Target="/xl/worksheets/sheet3.xml" Id="Re2fa16cf0a0b406a" /><Relationship Type="http://schemas.openxmlformats.org/officeDocument/2006/relationships/worksheet" Target="/xl/worksheets/sheet4.xml" Id="R8380fe4e7c204a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3" t="str">
        <x:v>Input</x:v>
      </x:c>
      <x:c r="B1" s="3" t="str">
        <x:v>Year 1</x:v>
      </x:c>
      <x:c r="C1" s="3" t="str">
        <x:v>Year 2</x:v>
      </x:c>
      <x:c r="D1" s="3" t="str">
        <x:v>Year 3</x:v>
      </x:c>
    </x:row>
    <x:row r="2">
      <x:c r="A2" t="str">
        <x:v>Candidates placed</x:v>
      </x:c>
      <x:c r="B2" t="n">
        <x:v>25</x:v>
      </x:c>
      <x:c r="C2" t="n">
        <x:v>50</x:v>
      </x:c>
      <x:c r="D2" t="n">
        <x:v>150</x:v>
      </x:c>
    </x:row>
    <x:row r="3">
      <x:c r="A3" t="str">
        <x:v>Placement fee</x:v>
      </x:c>
      <x:c r="B3" t="n">
        <x:v>4000</x:v>
      </x:c>
      <x:c r="C3" t="n">
        <x:v>4250</x:v>
      </x:c>
      <x:c r="D3" t="n">
        <x:v>4500</x:v>
      </x:c>
    </x:row>
    <x:row r="4">
      <x:c r="A4" t="str">
        <x:v>Monthly service fee</x:v>
      </x:c>
      <x:c r="B4" t="n">
        <x:v>175</x:v>
      </x:c>
      <x:c r="C4" t="n">
        <x:v>200</x:v>
      </x:c>
      <x:c r="D4" t="n">
        <x:v>225</x:v>
      </x:c>
    </x:row>
    <x:row r="5">
      <x:c r="A5" t="str">
        <x:v>Housing margin/month</x:v>
      </x:c>
      <x:c r="B5" t="n">
        <x:v>75</x:v>
      </x:c>
      <x:c r="C5" t="n">
        <x:v>100</x:v>
      </x:c>
      <x:c r="D5" t="n">
        <x:v>125</x:v>
      </x:c>
    </x:row>
    <x:row r="6">
      <x:c r="A6" t="str">
        <x:v>Subsidy income</x:v>
      </x:c>
      <x:c r="B6" t="n">
        <x:v>350000</x:v>
      </x:c>
      <x:c r="C6" t="n">
        <x:v>500000</x:v>
      </x:c>
      <x:c r="D6" t="n">
        <x:v>750000</x:v>
      </x:c>
    </x:row>
    <x:row r="7">
      <x:c r="A7" t="str">
        <x:v>Direct cost/candidate</x:v>
      </x:c>
      <x:c r="B7" t="n">
        <x:v>4500</x:v>
      </x:c>
      <x:c r="C7" t="n">
        <x:v>4200</x:v>
      </x:c>
      <x:c r="D7" t="n">
        <x:v>4000</x:v>
      </x:c>
    </x:row>
    <x:row r="8">
      <x:c r="A8" t="str">
        <x:v>Fixed staff/admin costs</x:v>
      </x:c>
      <x:c r="B8" t="n">
        <x:v>120000</x:v>
      </x:c>
      <x:c r="C8" t="n">
        <x:v>180000</x:v>
      </x:c>
      <x:c r="D8" t="n">
        <x:v>350000</x:v>
      </x:c>
    </x:row>
    <x:row r="9">
      <x:c r="A9" t="str">
        <x:v>Legal/compliance</x:v>
      </x:c>
      <x:c r="B9" t="n">
        <x:v>35000</x:v>
      </x:c>
      <x:c r="C9" t="n">
        <x:v>25000</x:v>
      </x:c>
      <x:c r="D9" t="n">
        <x:v>30000</x:v>
      </x:c>
    </x:row>
    <x:row r="10">
      <x:c r="A10" t="str">
        <x:v>Website/marketing</x:v>
      </x:c>
      <x:c r="B10" t="n">
        <x:v>25000</x:v>
      </x:c>
      <x:c r="C10" t="n">
        <x:v>35000</x:v>
      </x:c>
      <x:c r="D10" t="n">
        <x:v>60000</x:v>
      </x:c>
    </x:row>
    <x:row r="11">
      <x:c r="A11" t="str">
        <x:v>Foundation costs</x:v>
      </x:c>
      <x:c r="B11" t="n">
        <x:v>50000</x:v>
      </x:c>
      <x:c r="C11" t="n">
        <x:v>65000</x:v>
      </x:c>
      <x:c r="D11" t="n">
        <x:v>90000</x:v>
      </x:c>
    </x:row>
    <x:row r="12">
      <x:c r="A12" t="str">
        <x:v>Contingency</x:v>
      </x:c>
      <x:c r="B12" t="n">
        <x:v>30000</x:v>
      </x:c>
      <x:c r="C12" t="n">
        <x:v>45000</x:v>
      </x:c>
      <x:c r="D12" t="n">
        <x:v>75000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3" t="str">
        <x:v>Line item</x:v>
      </x:c>
      <x:c r="B1" s="3" t="str">
        <x:v>Year 1</x:v>
      </x:c>
      <x:c r="C1" s="3" t="str">
        <x:v>Year 2</x:v>
      </x:c>
      <x:c r="D1" s="3" t="str">
        <x:v>Year 3</x:v>
      </x:c>
    </x:row>
    <x:row r="2">
      <x:c r="A2" t="str">
        <x:v>Placement revenue</x:v>
      </x:c>
      <x:c r="B2" s="6" t="n">
        <x:f>Inputs!B2*Inputs!B3</x:f>
        <x:v>100000</x:v>
      </x:c>
      <x:c r="C2" s="6" t="n">
        <x:f>Inputs!C2*Inputs!C3</x:f>
        <x:v>212500</x:v>
      </x:c>
      <x:c r="D2" s="6" t="n">
        <x:f>Inputs!D2*Inputs!D3</x:f>
        <x:v>675000</x:v>
      </x:c>
    </x:row>
    <x:row r="3">
      <x:c r="A3" t="str">
        <x:v>Service fee revenue</x:v>
      </x:c>
      <x:c r="B3" s="6" t="n">
        <x:f>Inputs!B2*Inputs!B4*12</x:f>
        <x:v>52500</x:v>
      </x:c>
      <x:c r="C3" s="6" t="n">
        <x:f>Inputs!C2*Inputs!C4*12</x:f>
        <x:v>120000</x:v>
      </x:c>
      <x:c r="D3" s="6" t="n">
        <x:f>Inputs!D2*Inputs!D4*12</x:f>
        <x:v>405000</x:v>
      </x:c>
    </x:row>
    <x:row r="4">
      <x:c r="A4" t="str">
        <x:v>Housing margin</x:v>
      </x:c>
      <x:c r="B4" s="6" t="n">
        <x:f>Inputs!B2*Inputs!B5*12</x:f>
        <x:v>22500</x:v>
      </x:c>
      <x:c r="C4" s="6" t="n">
        <x:f>Inputs!C2*Inputs!C5*12</x:f>
        <x:v>60000</x:v>
      </x:c>
      <x:c r="D4" s="6" t="n">
        <x:f>Inputs!D2*Inputs!D5*12</x:f>
        <x:v>225000</x:v>
      </x:c>
    </x:row>
    <x:row r="5">
      <x:c r="A5" t="str">
        <x:v>Subsidy income</x:v>
      </x:c>
      <x:c r="B5" s="6" t="n">
        <x:f>Inputs!B6</x:f>
        <x:v>350000</x:v>
      </x:c>
      <x:c r="C5" s="6" t="n">
        <x:f>Inputs!C6</x:f>
        <x:v>500000</x:v>
      </x:c>
      <x:c r="D5" s="6" t="n">
        <x:f>Inputs!D6</x:f>
        <x:v>750000</x:v>
      </x:c>
    </x:row>
    <x:row r="6">
      <x:c r="A6" t="str">
        <x:v>Total revenue</x:v>
      </x:c>
      <x:c r="B6" s="6" t="n">
        <x:f>SUM(B2:B5)</x:f>
        <x:v>525000</x:v>
      </x:c>
      <x:c r="C6" s="6" t="n">
        <x:f>SUM(C2:C5)</x:f>
        <x:v>892500</x:v>
      </x:c>
      <x:c r="D6" s="6" t="n">
        <x:f>SUM(D2:D5)</x:f>
        <x:v>2055000</x:v>
      </x:c>
    </x:row>
    <x:row r="7">
      <x:c r="A7" t="str">
        <x:v>Direct candidate costs</x:v>
      </x:c>
      <x:c r="B7" s="6" t="n">
        <x:f>Inputs!B2*Inputs!B7</x:f>
        <x:v>112500</x:v>
      </x:c>
      <x:c r="C7" s="6" t="n">
        <x:f>Inputs!C2*Inputs!C7</x:f>
        <x:v>210000</x:v>
      </x:c>
      <x:c r="D7" s="6" t="n">
        <x:f>Inputs!D2*Inputs!D7</x:f>
        <x:v>600000</x:v>
      </x:c>
    </x:row>
    <x:row r="8">
      <x:c r="A8" t="str">
        <x:v>Fixed staff/admin costs</x:v>
      </x:c>
      <x:c r="B8" s="6" t="n">
        <x:f>Inputs!B8</x:f>
        <x:v>120000</x:v>
      </x:c>
      <x:c r="C8" s="6" t="n">
        <x:f>Inputs!C8</x:f>
        <x:v>180000</x:v>
      </x:c>
      <x:c r="D8" s="6" t="n">
        <x:f>Inputs!D8</x:f>
        <x:v>350000</x:v>
      </x:c>
    </x:row>
    <x:row r="9">
      <x:c r="A9" t="str">
        <x:v>Legal/compliance</x:v>
      </x:c>
      <x:c r="B9" s="6" t="n">
        <x:f>Inputs!B9</x:f>
        <x:v>35000</x:v>
      </x:c>
      <x:c r="C9" s="6" t="n">
        <x:f>Inputs!C9</x:f>
        <x:v>25000</x:v>
      </x:c>
      <x:c r="D9" s="6" t="n">
        <x:f>Inputs!D9</x:f>
        <x:v>30000</x:v>
      </x:c>
    </x:row>
    <x:row r="10">
      <x:c r="A10" t="str">
        <x:v>Website/marketing</x:v>
      </x:c>
      <x:c r="B10" s="6" t="n">
        <x:f>Inputs!B10</x:f>
        <x:v>25000</x:v>
      </x:c>
      <x:c r="C10" s="6" t="n">
        <x:f>Inputs!C10</x:f>
        <x:v>35000</x:v>
      </x:c>
      <x:c r="D10" s="6" t="n">
        <x:f>Inputs!D10</x:f>
        <x:v>60000</x:v>
      </x:c>
    </x:row>
    <x:row r="11">
      <x:c r="A11" t="str">
        <x:v>Foundation costs</x:v>
      </x:c>
      <x:c r="B11" s="6" t="n">
        <x:f>Inputs!B11</x:f>
        <x:v>50000</x:v>
      </x:c>
      <x:c r="C11" s="6" t="n">
        <x:f>Inputs!C11</x:f>
        <x:v>65000</x:v>
      </x:c>
      <x:c r="D11" s="6" t="n">
        <x:f>Inputs!D11</x:f>
        <x:v>90000</x:v>
      </x:c>
    </x:row>
    <x:row r="12">
      <x:c r="A12" t="str">
        <x:v>Contingency</x:v>
      </x:c>
      <x:c r="B12" s="6" t="n">
        <x:f>Inputs!B12</x:f>
        <x:v>30000</x:v>
      </x:c>
      <x:c r="C12" s="6" t="n">
        <x:f>Inputs!C12</x:f>
        <x:v>45000</x:v>
      </x:c>
      <x:c r="D12" s="6" t="n">
        <x:f>Inputs!D12</x:f>
        <x:v>75000</x:v>
      </x:c>
    </x:row>
    <x:row r="13">
      <x:c r="A13" t="str">
        <x:v>Total costs</x:v>
      </x:c>
      <x:c r="B13" s="6" t="n">
        <x:f>SUM(B7:B12)</x:f>
        <x:v>372500</x:v>
      </x:c>
      <x:c r="C13" s="6" t="n">
        <x:f>SUM(C7:C12)</x:f>
        <x:v>560000</x:v>
      </x:c>
      <x:c r="D13" s="6" t="n">
        <x:f>SUM(D7:D12)</x:f>
        <x:v>1205000</x:v>
      </x:c>
    </x:row>
    <x:row r="14">
      <x:c r="A14" t="str">
        <x:v>Operating result</x:v>
      </x:c>
      <x:c r="B14" s="6" t="n">
        <x:f>B6-B13</x:f>
        <x:v>152500</x:v>
      </x:c>
      <x:c r="C14" s="6" t="n">
        <x:f>C6-C13</x:f>
        <x:v>332500</x:v>
      </x:c>
      <x:c r="D14" s="6" t="n">
        <x:f>D6-D13</x:f>
        <x:v>850000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3" t="str">
        <x:v>Month</x:v>
      </x:c>
      <x:c r="B1" s="3" t="str">
        <x:v>Milestone</x:v>
      </x:c>
      <x:c r="C1" s="3" t="str">
        <x:v>Owner</x:v>
      </x:c>
      <x:c r="D1" s="3" t="str">
        <x:v>Status</x:v>
      </x:c>
      <x:c r="E1" s="3" t="str">
        <x:v>Output</x:v>
      </x:c>
    </x:row>
    <x:row r="2">
      <x:c r="A2" t="n">
        <x:v>1</x:v>
      </x:c>
      <x:c r="B2" t="str">
        <x:v>Advocaat/accountant selecteren</x:v>
      </x:c>
      <x:c r="C2" t="str">
        <x:v>Founder</x:v>
      </x:c>
      <x:c r="D2" t="str">
        <x:v>Not started</x:v>
      </x:c>
      <x:c r="E2" t="str">
        <x:v>Engagement letters</x:v>
      </x:c>
    </x:row>
    <x:row r="3">
      <x:c r="A3" t="n">
        <x:v>2</x:v>
      </x:c>
      <x:c r="B3" t="str">
        <x:v>Sp. z o.o. + Fundacja oprichten</x:v>
      </x:c>
      <x:c r="C3" t="str">
        <x:v>Legal</x:v>
      </x:c>
      <x:c r="D3" t="str">
        <x:v>Not started</x:v>
      </x:c>
      <x:c r="E3" t="str">
        <x:v>KRS extracts</x:v>
      </x:c>
    </x:row>
    <x:row r="4">
      <x:c r="A4" t="n">
        <x:v>3</x:v>
      </x:c>
      <x:c r="B4" t="str">
        <x:v>KRAZ voorbereiden</x:v>
      </x:c>
      <x:c r="C4" t="str">
        <x:v>Legal/Operations</x:v>
      </x:c>
      <x:c r="D4" t="str">
        <x:v>Not started</x:v>
      </x:c>
      <x:c r="E4" t="str">
        <x:v>Application file</x:v>
      </x:c>
    </x:row>
    <x:row r="5">
      <x:c r="A5" t="n">
        <x:v>4</x:v>
      </x:c>
      <x:c r="B5" t="str">
        <x:v>Website live</x:v>
      </x:c>
      <x:c r="C5" t="str">
        <x:v>Marketing</x:v>
      </x:c>
      <x:c r="D5" t="str">
        <x:v>Not started</x:v>
      </x:c>
      <x:c r="E5" t="str">
        <x:v>Website package</x:v>
      </x:c>
    </x:row>
    <x:row r="6">
      <x:c r="A6" t="n">
        <x:v>5</x:v>
      </x:c>
      <x:c r="B6" t="str">
        <x:v>Zorginstellingen LOI</x:v>
      </x:c>
      <x:c r="C6" t="str">
        <x:v>Sales</x:v>
      </x:c>
      <x:c r="D6" t="str">
        <x:v>Not started</x:v>
      </x:c>
      <x:c r="E6" t="str">
        <x:v>3 LOIs</x:v>
      </x:c>
    </x:row>
    <x:row r="7">
      <x:c r="A7" t="n">
        <x:v>6</x:v>
      </x:c>
      <x:c r="B7" t="str">
        <x:v>AMIF/FERS dossier</x:v>
      </x:c>
      <x:c r="C7" t="str">
        <x:v>Foundation</x:v>
      </x:c>
      <x:c r="D7" t="str">
        <x:v>Not started</x:v>
      </x:c>
      <x:c r="E7" t="str">
        <x:v>Application</x:v>
      </x:c>
    </x:row>
    <x:row r="8">
      <x:c r="A8" t="n">
        <x:v>7</x:v>
      </x:c>
      <x:c r="B8" t="str">
        <x:v>Colombia recruitment</x:v>
      </x:c>
      <x:c r="C8" t="str">
        <x:v>Colombia partner</x:v>
      </x:c>
      <x:c r="D8" t="str">
        <x:v>Not started</x:v>
      </x:c>
      <x:c r="E8" t="str">
        <x:v>100 leads</x:v>
      </x:c>
    </x:row>
    <x:row r="9">
      <x:c r="A9" t="n">
        <x:v>8</x:v>
      </x:c>
      <x:c r="B9" t="str">
        <x:v>Taalprogramma</x:v>
      </x:c>
      <x:c r="C9" t="str">
        <x:v>Training partner</x:v>
      </x:c>
      <x:c r="D9" t="str">
        <x:v>Not started</x:v>
      </x:c>
      <x:c r="E9" t="str">
        <x:v>25 candidates</x:v>
      </x:c>
    </x:row>
    <x:row r="10">
      <x:c r="A10" t="n">
        <x:v>9</x:v>
      </x:c>
      <x:c r="B10" t="str">
        <x:v>Migratie dossiers</x:v>
      </x:c>
      <x:c r="C10" t="str">
        <x:v>Legal</x:v>
      </x:c>
      <x:c r="D10" t="str">
        <x:v>Not started</x:v>
      </x:c>
      <x:c r="E10" t="str">
        <x:v>Work permits</x:v>
      </x:c>
    </x:row>
    <x:row r="11">
      <x:c r="A11" t="n">
        <x:v>10</x:v>
      </x:c>
      <x:c r="B11" t="str">
        <x:v>Huisvesting</x:v>
      </x:c>
      <x:c r="C11" t="str">
        <x:v>Operations</x:v>
      </x:c>
      <x:c r="D11" t="str">
        <x:v>Not started</x:v>
      </x:c>
      <x:c r="E11" t="str">
        <x:v>Housing contracts</x:v>
      </x:c>
    </x:row>
    <x:row r="12">
      <x:c r="A12" t="n">
        <x:v>11</x:v>
      </x:c>
      <x:c r="B12" t="str">
        <x:v>Eerste plaatsingen</x:v>
      </x:c>
      <x:c r="C12" t="str">
        <x:v>Operations</x:v>
      </x:c>
      <x:c r="D12" t="str">
        <x:v>Not started</x:v>
      </x:c>
      <x:c r="E12" t="str">
        <x:v>Starts</x:v>
      </x:c>
    </x:row>
    <x:row r="13">
      <x:c r="A13" t="n">
        <x:v>12</x:v>
      </x:c>
      <x:c r="B13" t="str">
        <x:v>Evaluatie</x:v>
      </x:c>
      <x:c r="C13" t="str">
        <x:v>Management</x:v>
      </x:c>
      <x:c r="D13" t="str">
        <x:v>Not started</x:v>
      </x:c>
      <x:c r="E13" t="str">
        <x:v>Impact report</x:v>
      </x:c>
    </x:row>
  </x:sheetData>
  <x:dataValidations count="1">
    <x:dataValidation type="list" sqref="D2:D13">
      <x:formula1>"Not started,In progress,Done,Blocked"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55" hidden="0" customWidth="1"/>
  </x:cols>
  <x:sheetData>
    <x:row r="1">
      <x:c r="A1" s="3" t="str">
        <x:v>Topic</x:v>
      </x:c>
      <x:c r="B1" s="3" t="str">
        <x:v>Source URL</x:v>
      </x:c>
    </x:row>
    <x:row r="2">
      <x:c r="A2" t="str">
        <x:v>KRAZ</x:v>
      </x:c>
      <x:c r="B2" t="str">
        <x:v>https://www.gov.pl/web/your-europe/acquiring-employment-agency-certificate</x:v>
      </x:c>
    </x:row>
    <x:row r="3">
      <x:c r="A3" t="str">
        <x:v>ESF+ Poland</x:v>
      </x:c>
      <x:c r="B3" t="str">
        <x:v>https://european-social-fund-plus.ec.europa.eu/en/support-your-country/esf-poland</x:v>
      </x:c>
    </x:row>
    <x:row r="4">
      <x:c r="A4" t="str">
        <x:v>AMIF EU</x:v>
      </x:c>
      <x:c r="B4" t="str">
        <x:v>https://home-affairs.ec.europa.eu/funding/asylum-migration-and-integration-funds/asylum-migration-and-integration-fund-2021-2027_en</x:v>
      </x:c>
    </x:row>
    <x:row r="5">
      <x:c r="A5" t="str">
        <x:v>AMIF Poland</x:v>
      </x:c>
      <x:c r="B5" t="str">
        <x:v>https://www.gov.pl/web/european-funds/asylum-migration-and-integration-fund-2021-2027</x:v>
      </x:c>
    </x:row>
    <x:row r="6">
      <x:c r="A6" t="str">
        <x:v>FERS</x:v>
      </x:c>
      <x:c r="B6" t="str">
        <x:v>https://www.archiwum.rozwojspoleczny.gov.pl/en/</x:v>
      </x:c>
    </x:row>
  </x:sheetData>
  <x:pageMargins left="0.7" right="0.7" top="0.75" bottom="0.75" header="0.3" footer="0.3"/>
</x:worksheet>
</file>